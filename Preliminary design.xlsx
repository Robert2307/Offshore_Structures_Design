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 Wieringa\Documents\Studie\Civiele techniek\Master\Jaar 4\CIEM4120\"/>
    </mc:Choice>
  </mc:AlternateContent>
  <xr:revisionPtr revIDLastSave="0" documentId="13_ncr:1_{9EEA6288-8E9C-47CA-AFED-8565C41ABFB3}" xr6:coauthVersionLast="47" xr6:coauthVersionMax="47" xr10:uidLastSave="{00000000-0000-0000-0000-000000000000}"/>
  <bookViews>
    <workbookView xWindow="-108" yWindow="-108" windowWidth="23256" windowHeight="12456" xr2:uid="{5EA3A079-D415-40A8-9C5D-C392264F8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0" i="1"/>
  <c r="K11" i="1"/>
  <c r="K12" i="1"/>
  <c r="K13" i="1"/>
  <c r="K14" i="1"/>
  <c r="K15" i="1"/>
  <c r="K16" i="1"/>
  <c r="K10" i="1"/>
  <c r="C16" i="1"/>
  <c r="C18" i="1" s="1"/>
  <c r="C20" i="1" s="1"/>
  <c r="C15" i="1"/>
  <c r="C17" i="1" s="1"/>
  <c r="C19" i="1" s="1"/>
  <c r="C21" i="1" s="1"/>
  <c r="C14" i="1"/>
  <c r="H2" i="1"/>
  <c r="H3" i="1" s="1"/>
  <c r="H4" i="1" s="1"/>
  <c r="B5" i="1"/>
  <c r="B21" i="1" s="1"/>
  <c r="B12" i="1"/>
  <c r="H17" i="1" l="1"/>
  <c r="H18" i="1"/>
  <c r="B20" i="1"/>
  <c r="B16" i="1"/>
  <c r="H14" i="1" s="1"/>
  <c r="J14" i="1" s="1"/>
  <c r="L14" i="1" s="1"/>
  <c r="B17" i="1"/>
  <c r="B18" i="1"/>
  <c r="B14" i="1"/>
  <c r="B13" i="1"/>
  <c r="H10" i="1" s="1"/>
  <c r="J10" i="1" s="1"/>
  <c r="L10" i="1" s="1"/>
  <c r="B19" i="1"/>
  <c r="B15" i="1"/>
  <c r="H16" i="1" l="1"/>
  <c r="J16" i="1" s="1"/>
  <c r="L16" i="1" s="1"/>
  <c r="H13" i="1"/>
  <c r="J13" i="1" s="1"/>
  <c r="L13" i="1" s="1"/>
  <c r="H11" i="1"/>
  <c r="J11" i="1" s="1"/>
  <c r="L11" i="1" s="1"/>
  <c r="H12" i="1"/>
  <c r="J12" i="1" s="1"/>
  <c r="L12" i="1" s="1"/>
  <c r="H15" i="1"/>
  <c r="J15" i="1" s="1"/>
  <c r="L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tc={A395E05B-67FD-4F7F-A855-421B94E8BCB2}</author>
  </authors>
  <commentList>
    <comment ref="F16" authorId="0" shapeId="0" xr:uid="{A395E05B-67FD-4F7F-A855-421B94E8BC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Always above
</t>
      </text>
    </comment>
  </commentList>
</comments>
</file>

<file path=xl/sharedStrings.xml><?xml version="1.0" encoding="utf-8"?>
<sst xmlns="http://schemas.openxmlformats.org/spreadsheetml/2006/main" count="47" uniqueCount="41">
  <si>
    <t>h1</t>
  </si>
  <si>
    <t>h2</t>
  </si>
  <si>
    <t>h3</t>
  </si>
  <si>
    <t>X</t>
  </si>
  <si>
    <t>Y</t>
  </si>
  <si>
    <t>Bottomc</t>
  </si>
  <si>
    <t xml:space="preserve">Angle </t>
  </si>
  <si>
    <t>1:10</t>
  </si>
  <si>
    <t>base</t>
  </si>
  <si>
    <t>Angle bracing</t>
  </si>
  <si>
    <t>Midbase</t>
  </si>
  <si>
    <t>m factor</t>
  </si>
  <si>
    <t>Horizontal1</t>
  </si>
  <si>
    <t>Horizontal2</t>
  </si>
  <si>
    <t>Horizontal3</t>
  </si>
  <si>
    <t>Horizontal4</t>
  </si>
  <si>
    <t>Members</t>
  </si>
  <si>
    <t>Length</t>
  </si>
  <si>
    <t>Nodes connected</t>
  </si>
  <si>
    <t>2-4</t>
  </si>
  <si>
    <t>2-5</t>
  </si>
  <si>
    <t>6-5</t>
  </si>
  <si>
    <t>8-5</t>
  </si>
  <si>
    <t>8-7</t>
  </si>
  <si>
    <t>8-9</t>
  </si>
  <si>
    <t>10-9</t>
  </si>
  <si>
    <t>1-12</t>
  </si>
  <si>
    <t>3-11</t>
  </si>
  <si>
    <t>Type of elem</t>
  </si>
  <si>
    <t>H</t>
  </si>
  <si>
    <t>K</t>
  </si>
  <si>
    <t>Leg</t>
  </si>
  <si>
    <t>K elem</t>
  </si>
  <si>
    <t>H elem</t>
  </si>
  <si>
    <t>D= x*L</t>
  </si>
  <si>
    <t>D(m)</t>
  </si>
  <si>
    <t>Thickness(m)</t>
  </si>
  <si>
    <t>Scale factor, m to inch</t>
  </si>
  <si>
    <t>D(inches)</t>
  </si>
  <si>
    <t>t(inches)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</si>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</sst>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000"/>
  </numFmts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164" fontId="0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 Wieringa" id="{1F1A38AD-6C14-48F9-8ED9-FE9125072E3F}" userId="bceb0a13963901f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6" dT="2026-02-12T15:30:58.02" personId="{1F1A38AD-6C14-48F9-8ED9-FE9125072E3F}" id="{A395E05B-67FD-4F7F-A855-421B94E8BCB2}">
    <text xml:space="preserve">Always above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4092-3901-4098-857D-92AA3FBA955C}">
  <dimension ref="A1:M22"/>
  <sheetViews>
    <sheetView tabSelected="1" workbookViewId="0">
      <selection activeCell="F16" sqref="F16"/>
    </sheetView>
  </sheetViews>
  <sheetFormatPr defaultRowHeight="14.4" x14ac:dyDescent="0.3"/>
  <cols>
    <col min="1" max="1" width="11.77734375" bestFit="1" customWidth="1"/>
    <col min="2" max="2" width="8.88671875" style="2"/>
    <col min="7" max="7" width="15.21875" bestFit="1" customWidth="1"/>
    <col min="9" max="9" width="13.21875" customWidth="1"/>
    <col min="11" max="11" width="19.88671875" bestFit="1" customWidth="1"/>
    <col min="12" max="12" width="11.6640625" bestFit="1" customWidth="1"/>
  </cols>
  <sheetData>
    <row r="1" spans="1:13" x14ac:dyDescent="0.3">
      <c r="A1" t="s">
        <v>0</v>
      </c>
      <c r="B1" s="2">
        <v>16.14</v>
      </c>
      <c r="D1" t="s">
        <v>11</v>
      </c>
      <c r="E1" s="1">
        <v>1.2523</v>
      </c>
      <c r="G1" t="s">
        <v>12</v>
      </c>
      <c r="H1">
        <v>13</v>
      </c>
      <c r="K1" t="s">
        <v>37</v>
      </c>
      <c r="L1">
        <v>39.36</v>
      </c>
    </row>
    <row r="2" spans="1:13" x14ac:dyDescent="0.3">
      <c r="A2" t="s">
        <v>1</v>
      </c>
      <c r="B2" s="2">
        <v>20.213000000000001</v>
      </c>
      <c r="G2" t="s">
        <v>13</v>
      </c>
      <c r="H2">
        <f>H1*E$1</f>
        <v>16.279899999999998</v>
      </c>
    </row>
    <row r="3" spans="1:13" x14ac:dyDescent="0.3">
      <c r="A3" t="s">
        <v>2</v>
      </c>
      <c r="B3" s="2">
        <v>25.314</v>
      </c>
      <c r="G3" t="s">
        <v>14</v>
      </c>
      <c r="H3">
        <f t="shared" ref="H3:H5" si="0">H2*E$1</f>
        <v>20.387318769999997</v>
      </c>
    </row>
    <row r="4" spans="1:13" x14ac:dyDescent="0.3">
      <c r="A4" t="s">
        <v>8</v>
      </c>
      <c r="B4" s="2">
        <v>25.53</v>
      </c>
      <c r="G4" t="s">
        <v>15</v>
      </c>
      <c r="H4">
        <f t="shared" si="0"/>
        <v>25.531039295670997</v>
      </c>
    </row>
    <row r="5" spans="1:13" x14ac:dyDescent="0.3">
      <c r="A5" t="s">
        <v>10</v>
      </c>
      <c r="B5" s="2">
        <f>0.5*B4</f>
        <v>12.765000000000001</v>
      </c>
    </row>
    <row r="6" spans="1:13" x14ac:dyDescent="0.3">
      <c r="A6" t="s">
        <v>9</v>
      </c>
      <c r="B6" s="2">
        <v>47.77</v>
      </c>
    </row>
    <row r="7" spans="1:13" x14ac:dyDescent="0.3">
      <c r="A7" t="s">
        <v>5</v>
      </c>
      <c r="B7" s="2">
        <v>1</v>
      </c>
    </row>
    <row r="8" spans="1:13" x14ac:dyDescent="0.3">
      <c r="A8" t="s">
        <v>6</v>
      </c>
      <c r="B8" s="3" t="s">
        <v>7</v>
      </c>
    </row>
    <row r="9" spans="1:13" x14ac:dyDescent="0.3">
      <c r="B9" s="2" t="s">
        <v>3</v>
      </c>
      <c r="C9" t="s">
        <v>4</v>
      </c>
      <c r="D9" t="s">
        <v>40</v>
      </c>
      <c r="F9" t="s">
        <v>16</v>
      </c>
      <c r="G9" t="s">
        <v>18</v>
      </c>
      <c r="H9" t="s">
        <v>17</v>
      </c>
      <c r="I9" t="s">
        <v>28</v>
      </c>
      <c r="J9" t="s">
        <v>35</v>
      </c>
      <c r="K9" t="s">
        <v>38</v>
      </c>
      <c r="L9" t="s">
        <v>36</v>
      </c>
      <c r="M9" t="s">
        <v>39</v>
      </c>
    </row>
    <row r="10" spans="1:13" x14ac:dyDescent="0.3">
      <c r="A10">
        <v>1</v>
      </c>
      <c r="B10" s="2">
        <v>0</v>
      </c>
      <c r="C10">
        <v>0</v>
      </c>
      <c r="F10">
        <v>1</v>
      </c>
      <c r="G10" s="3" t="s">
        <v>19</v>
      </c>
      <c r="H10" s="2">
        <f>B13-B11</f>
        <v>25.430519647835496</v>
      </c>
      <c r="I10" t="s">
        <v>29</v>
      </c>
      <c r="J10">
        <f>H10*G$22</f>
        <v>0.58490195190021643</v>
      </c>
      <c r="K10" s="5">
        <f>L$1*J10</f>
        <v>23.02174082679252</v>
      </c>
      <c r="L10">
        <f>J10/40</f>
        <v>1.4622548797505412E-2</v>
      </c>
      <c r="M10">
        <f>L$1*L10</f>
        <v>0.57554352066981296</v>
      </c>
    </row>
    <row r="11" spans="1:13" x14ac:dyDescent="0.3">
      <c r="A11">
        <v>2</v>
      </c>
      <c r="B11" s="2">
        <v>0.1</v>
      </c>
      <c r="C11">
        <v>1</v>
      </c>
      <c r="F11">
        <v>2</v>
      </c>
      <c r="G11" s="3" t="s">
        <v>20</v>
      </c>
      <c r="H11" s="2">
        <f>((B14-B11)^2 + (C14-C11)^2)^0.5</f>
        <v>34.10743181301472</v>
      </c>
      <c r="I11" t="s">
        <v>30</v>
      </c>
      <c r="J11">
        <f>H11*H$22</f>
        <v>0.98911552257742696</v>
      </c>
      <c r="K11" s="5">
        <f t="shared" ref="K11:K16" si="1">L$1*J11</f>
        <v>38.931586968647522</v>
      </c>
      <c r="L11">
        <f t="shared" ref="L11:L13" si="2">J11/40</f>
        <v>2.4727888064435675E-2</v>
      </c>
      <c r="M11">
        <f t="shared" ref="M11:M18" si="3">L$1*L11</f>
        <v>0.97328967421618817</v>
      </c>
    </row>
    <row r="12" spans="1:13" x14ac:dyDescent="0.3">
      <c r="A12">
        <v>3</v>
      </c>
      <c r="B12" s="2">
        <f>B4</f>
        <v>25.53</v>
      </c>
      <c r="C12">
        <v>0</v>
      </c>
      <c r="F12">
        <v>3</v>
      </c>
      <c r="G12" s="3" t="s">
        <v>21</v>
      </c>
      <c r="H12" s="2">
        <f>B14-B15</f>
        <v>20.387318769999993</v>
      </c>
      <c r="I12" t="s">
        <v>29</v>
      </c>
      <c r="J12">
        <f t="shared" ref="J12:J16" si="4">H12*G$22</f>
        <v>0.46890833170999985</v>
      </c>
      <c r="K12" s="5">
        <f t="shared" si="1"/>
        <v>18.456231936105596</v>
      </c>
      <c r="L12">
        <f t="shared" si="2"/>
        <v>1.1722708292749996E-2</v>
      </c>
      <c r="M12">
        <f t="shared" si="3"/>
        <v>0.46140579840263984</v>
      </c>
    </row>
    <row r="13" spans="1:13" x14ac:dyDescent="0.3">
      <c r="A13">
        <v>4</v>
      </c>
      <c r="B13" s="2">
        <f>B5+0.5*H4</f>
        <v>25.530519647835497</v>
      </c>
      <c r="C13">
        <v>1</v>
      </c>
      <c r="F13">
        <v>4</v>
      </c>
      <c r="G13" s="3" t="s">
        <v>22</v>
      </c>
      <c r="H13" s="4">
        <f>((B14-B17)^2 + (C17-C14)^2)^0.5</f>
        <v>27.288946518357207</v>
      </c>
      <c r="I13" t="s">
        <v>30</v>
      </c>
      <c r="J13">
        <f t="shared" ref="J13:J16" si="5">H13*H$22</f>
        <v>0.79137944903235902</v>
      </c>
      <c r="K13" s="5">
        <f t="shared" si="1"/>
        <v>31.14869511391365</v>
      </c>
      <c r="L13">
        <f t="shared" si="2"/>
        <v>1.9784486225808976E-2</v>
      </c>
      <c r="M13">
        <f t="shared" si="3"/>
        <v>0.77871737784784134</v>
      </c>
    </row>
    <row r="14" spans="1:13" x14ac:dyDescent="0.3">
      <c r="A14">
        <v>5</v>
      </c>
      <c r="B14" s="2">
        <f>B5+0.5*H3</f>
        <v>22.958659384999997</v>
      </c>
      <c r="C14" s="2">
        <f>1+B3</f>
        <v>26.314</v>
      </c>
      <c r="F14">
        <v>5</v>
      </c>
      <c r="G14" s="3" t="s">
        <v>23</v>
      </c>
      <c r="H14" s="2">
        <f>B16-B17</f>
        <v>16.279899999999998</v>
      </c>
      <c r="I14" t="s">
        <v>29</v>
      </c>
      <c r="J14">
        <f t="shared" ref="J14:J16" si="6">H14*G$22</f>
        <v>0.37443769999999993</v>
      </c>
      <c r="K14" s="5">
        <f t="shared" si="1"/>
        <v>14.737867871999997</v>
      </c>
      <c r="L14">
        <f>J14/25</f>
        <v>1.4977507999999997E-2</v>
      </c>
      <c r="M14">
        <f t="shared" si="3"/>
        <v>0.58951471487999985</v>
      </c>
    </row>
    <row r="15" spans="1:13" x14ac:dyDescent="0.3">
      <c r="A15">
        <v>6</v>
      </c>
      <c r="B15" s="2">
        <f>B5-0.5*H3</f>
        <v>2.5713406150000022</v>
      </c>
      <c r="C15" s="2">
        <f>1+B3</f>
        <v>26.314</v>
      </c>
      <c r="F15">
        <v>6</v>
      </c>
      <c r="G15" s="3" t="s">
        <v>24</v>
      </c>
      <c r="H15" s="2">
        <f>((B17-B18)^2 + (C17-C18)^2)^0.5</f>
        <v>21.790542352188027</v>
      </c>
      <c r="I15" t="s">
        <v>30</v>
      </c>
      <c r="J15">
        <f t="shared" ref="J15:J16" si="7">H15*H$22</f>
        <v>0.63192572821345283</v>
      </c>
      <c r="K15" s="5">
        <f t="shared" si="1"/>
        <v>24.872596662481502</v>
      </c>
      <c r="L15">
        <f>J15/25</f>
        <v>2.5277029128538114E-2</v>
      </c>
      <c r="M15">
        <f t="shared" si="3"/>
        <v>0.9949038664992601</v>
      </c>
    </row>
    <row r="16" spans="1:13" x14ac:dyDescent="0.3">
      <c r="A16">
        <v>7</v>
      </c>
      <c r="B16" s="2">
        <f>B5+0.5*H2</f>
        <v>20.904949999999999</v>
      </c>
      <c r="C16" s="2">
        <f>C14+B$2</f>
        <v>46.527000000000001</v>
      </c>
      <c r="F16">
        <v>7</v>
      </c>
      <c r="G16" s="3" t="s">
        <v>25</v>
      </c>
      <c r="H16" s="2">
        <f>B18-B19</f>
        <v>13</v>
      </c>
      <c r="I16" t="s">
        <v>29</v>
      </c>
      <c r="J16">
        <f t="shared" ref="J16" si="8">H16*G$22</f>
        <v>0.29899999999999999</v>
      </c>
      <c r="K16" s="5">
        <f t="shared" si="1"/>
        <v>11.76864</v>
      </c>
      <c r="L16">
        <f>J16/40</f>
        <v>7.4749999999999999E-3</v>
      </c>
      <c r="M16">
        <f t="shared" si="3"/>
        <v>0.29421599999999998</v>
      </c>
    </row>
    <row r="17" spans="1:9" x14ac:dyDescent="0.3">
      <c r="A17">
        <v>8</v>
      </c>
      <c r="B17" s="2">
        <f>B5-0.5*H2</f>
        <v>4.6250500000000017</v>
      </c>
      <c r="C17" s="2">
        <f>C15+B$2</f>
        <v>46.527000000000001</v>
      </c>
      <c r="F17">
        <v>8</v>
      </c>
      <c r="G17" s="3" t="s">
        <v>26</v>
      </c>
      <c r="H17" s="2">
        <f>(B21^2+C21^2)^0.5</f>
        <v>63.984373983028078</v>
      </c>
      <c r="I17" t="s">
        <v>31</v>
      </c>
    </row>
    <row r="18" spans="1:9" x14ac:dyDescent="0.3">
      <c r="A18">
        <v>9</v>
      </c>
      <c r="B18" s="2">
        <f>B5+0.5*H1</f>
        <v>19.265000000000001</v>
      </c>
      <c r="C18" s="2">
        <f>C16+B1</f>
        <v>62.667000000000002</v>
      </c>
      <c r="F18">
        <v>9</v>
      </c>
      <c r="G18" s="3" t="s">
        <v>27</v>
      </c>
      <c r="H18" s="2">
        <f>((B12-B20)^2 + (C20^2))^0.5</f>
        <v>63.984373983028078</v>
      </c>
      <c r="I18" t="s">
        <v>31</v>
      </c>
    </row>
    <row r="19" spans="1:9" x14ac:dyDescent="0.3">
      <c r="A19">
        <v>10</v>
      </c>
      <c r="B19" s="2">
        <f>B5-0.5*H1</f>
        <v>6.2650000000000006</v>
      </c>
      <c r="C19" s="2">
        <f>C17+B1</f>
        <v>62.667000000000002</v>
      </c>
    </row>
    <row r="20" spans="1:9" x14ac:dyDescent="0.3">
      <c r="A20">
        <v>11</v>
      </c>
      <c r="B20" s="2">
        <f>B5+0.5*H1-0.1</f>
        <v>19.164999999999999</v>
      </c>
      <c r="C20" s="2">
        <f>C18+1</f>
        <v>63.667000000000002</v>
      </c>
    </row>
    <row r="21" spans="1:9" x14ac:dyDescent="0.3">
      <c r="A21">
        <v>12</v>
      </c>
      <c r="B21" s="2">
        <f>B5-0.5*H1+0.1</f>
        <v>6.3650000000000002</v>
      </c>
      <c r="C21" s="2">
        <f>C19+1</f>
        <v>63.667000000000002</v>
      </c>
      <c r="G21" s="3" t="s">
        <v>33</v>
      </c>
      <c r="H21" t="s">
        <v>32</v>
      </c>
    </row>
    <row r="22" spans="1:9" x14ac:dyDescent="0.3">
      <c r="F22" s="3" t="s">
        <v>34</v>
      </c>
      <c r="G22">
        <v>2.3E-2</v>
      </c>
      <c r="H22">
        <v>2.9000000000000001E-2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Wieringa</dc:creator>
  <cp:lastModifiedBy>Robert Wieringa</cp:lastModifiedBy>
  <dcterms:created xsi:type="dcterms:W3CDTF">2026-02-12T14:33:56Z</dcterms:created>
  <dcterms:modified xsi:type="dcterms:W3CDTF">2026-02-12T15:31:03Z</dcterms:modified>
</cp:coreProperties>
</file>