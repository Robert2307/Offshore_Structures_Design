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ert Wieringa\Documents\Studie\Civiele techniek\Master\Jaar 4\CIEM4120\Offshore_Structures_Design\"/>
    </mc:Choice>
  </mc:AlternateContent>
  <xr:revisionPtr revIDLastSave="0" documentId="13_ncr:1_{BF72CE23-F25E-4EE7-AD10-8ECB79090CE5}" xr6:coauthVersionLast="47" xr6:coauthVersionMax="47" xr10:uidLastSave="{00000000-0000-0000-0000-000000000000}"/>
  <bookViews>
    <workbookView xWindow="-108" yWindow="-108" windowWidth="23256" windowHeight="12456" activeTab="1" xr2:uid="{F028FC96-390B-4C76-B445-D230E46DA297}"/>
  </bookViews>
  <sheets>
    <sheet name="Geometry" sheetId="1" r:id="rId1"/>
    <sheet name="Member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2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3" i="2"/>
  <c r="A4" i="2" s="1"/>
  <c r="A5" i="2" s="1"/>
  <c r="A6" i="2" s="1"/>
  <c r="A7" i="2" s="1"/>
  <c r="A8" i="2" s="1"/>
  <c r="A9" i="2" s="1"/>
  <c r="A10" i="2" s="1"/>
  <c r="B22" i="1"/>
  <c r="C22" i="1" s="1"/>
  <c r="C23" i="1" s="1"/>
  <c r="C24" i="1" s="1"/>
  <c r="C25" i="1" s="1"/>
  <c r="B23" i="1"/>
  <c r="B24" i="1" s="1"/>
  <c r="B25" i="1" s="1"/>
  <c r="B18" i="1"/>
  <c r="B19" i="1" s="1"/>
  <c r="B20" i="1" s="1"/>
  <c r="B21" i="1" s="1"/>
  <c r="B14" i="1"/>
  <c r="C14" i="1" s="1"/>
  <c r="C15" i="1" s="1"/>
  <c r="C16" i="1" s="1"/>
  <c r="C17" i="1" s="1"/>
  <c r="C18" i="1"/>
  <c r="C19" i="1"/>
  <c r="C20" i="1"/>
  <c r="C21" i="1"/>
  <c r="B10" i="1"/>
  <c r="B11" i="1" s="1"/>
  <c r="B12" i="1" s="1"/>
  <c r="B13" i="1" s="1"/>
  <c r="B6" i="1"/>
  <c r="B7" i="1"/>
  <c r="B8" i="1" s="1"/>
  <c r="B9" i="1" s="1"/>
  <c r="D11" i="1"/>
  <c r="D15" i="1"/>
  <c r="D19" i="1"/>
  <c r="D23" i="1"/>
  <c r="D12" i="1"/>
  <c r="D16" i="1" s="1"/>
  <c r="D20" i="1" s="1"/>
  <c r="D24" i="1" s="1"/>
  <c r="D13" i="1"/>
  <c r="D17" i="1"/>
  <c r="D21" i="1" s="1"/>
  <c r="D25" i="1" s="1"/>
  <c r="D10" i="1"/>
  <c r="D14" i="1"/>
  <c r="D18" i="1"/>
  <c r="D22" i="1"/>
  <c r="B2" i="1"/>
  <c r="B3" i="1" s="1"/>
  <c r="B4" i="1" s="1"/>
  <c r="B5" i="1" s="1"/>
  <c r="C6" i="1"/>
  <c r="C7" i="1"/>
  <c r="C8" i="1" s="1"/>
  <c r="C9" i="1" s="1"/>
  <c r="C2" i="1"/>
  <c r="C3" i="1"/>
  <c r="C4" i="1" s="1"/>
  <c r="C5" i="1" s="1"/>
  <c r="C10" i="1" l="1"/>
  <c r="C11" i="1" s="1"/>
  <c r="C12" i="1" s="1"/>
  <c r="C13" i="1" s="1"/>
  <c r="B15" i="1"/>
  <c r="B16" i="1" s="1"/>
  <c r="B17" i="1" s="1"/>
</calcChain>
</file>

<file path=xl/sharedStrings.xml><?xml version="1.0" encoding="utf-8"?>
<sst xmlns="http://schemas.openxmlformats.org/spreadsheetml/2006/main" count="103" uniqueCount="58">
  <si>
    <t>Nodes</t>
  </si>
  <si>
    <t>X</t>
  </si>
  <si>
    <t>Y</t>
  </si>
  <si>
    <t>Z</t>
  </si>
  <si>
    <t>Members</t>
  </si>
  <si>
    <t>8-5</t>
  </si>
  <si>
    <t>8-9</t>
  </si>
  <si>
    <t>H</t>
  </si>
  <si>
    <t>K</t>
  </si>
  <si>
    <t>20-17</t>
  </si>
  <si>
    <t>Connectivity</t>
  </si>
  <si>
    <t>Element type</t>
  </si>
  <si>
    <t>5-6</t>
  </si>
  <si>
    <t>6-7</t>
  </si>
  <si>
    <t>7-8</t>
  </si>
  <si>
    <t>5-10</t>
  </si>
  <si>
    <t>6-10</t>
  </si>
  <si>
    <t>9-10</t>
  </si>
  <si>
    <t>6-11</t>
  </si>
  <si>
    <t>7-12</t>
  </si>
  <si>
    <t>10-11</t>
  </si>
  <si>
    <t>11-12</t>
  </si>
  <si>
    <t>12-9</t>
  </si>
  <si>
    <t>10-13</t>
  </si>
  <si>
    <t>10-14</t>
  </si>
  <si>
    <t>11-14</t>
  </si>
  <si>
    <t>12-15</t>
  </si>
  <si>
    <t>9-16</t>
  </si>
  <si>
    <t>13-14</t>
  </si>
  <si>
    <t>14-15</t>
  </si>
  <si>
    <t>15-16</t>
  </si>
  <si>
    <t>16-13</t>
  </si>
  <si>
    <t>13-18</t>
  </si>
  <si>
    <t>14-19</t>
  </si>
  <si>
    <t>15-20</t>
  </si>
  <si>
    <t>16-17</t>
  </si>
  <si>
    <t>17-18</t>
  </si>
  <si>
    <t>18-19</t>
  </si>
  <si>
    <t>19-20</t>
  </si>
  <si>
    <t>L</t>
  </si>
  <si>
    <t>1-5</t>
  </si>
  <si>
    <t>5-9</t>
  </si>
  <si>
    <t>9-13</t>
  </si>
  <si>
    <t>13-17</t>
  </si>
  <si>
    <t>17-21</t>
  </si>
  <si>
    <t>2-6</t>
  </si>
  <si>
    <t>14-18</t>
  </si>
  <si>
    <t>18-22</t>
  </si>
  <si>
    <t>3-7</t>
  </si>
  <si>
    <t>7-11</t>
  </si>
  <si>
    <t>11-15</t>
  </si>
  <si>
    <t>15-19</t>
  </si>
  <si>
    <t>19-23</t>
  </si>
  <si>
    <t>4-8</t>
  </si>
  <si>
    <t>8-12</t>
  </si>
  <si>
    <t>12-16</t>
  </si>
  <si>
    <t>16-20</t>
  </si>
  <si>
    <t>20-24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</si>
</sst>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CB75-A3D2-4026-B89E-C3DB5975153C}">
  <dimension ref="A1:D38"/>
  <sheetViews>
    <sheetView topLeftCell="A8" workbookViewId="0">
      <selection activeCell="E2" sqref="E2"/>
    </sheetView>
  </sheetViews>
  <sheetFormatPr defaultRowHeight="14.4" x14ac:dyDescent="0.3"/>
  <cols>
    <col min="1" max="1" width="8.88671875" style="1"/>
    <col min="2" max="2" width="10.88671875" style="1" customWidth="1"/>
    <col min="3" max="4" width="8.88671875" style="1"/>
  </cols>
  <sheetData>
    <row r="1" spans="1:4" x14ac:dyDescent="0.3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3">
      <c r="A2" s="3">
        <v>1</v>
      </c>
      <c r="B2" s="3">
        <f>(25.53 + 1/10)/2</f>
        <v>12.815000000000001</v>
      </c>
      <c r="C2" s="3">
        <f>B2</f>
        <v>12.815000000000001</v>
      </c>
      <c r="D2" s="1">
        <v>0</v>
      </c>
    </row>
    <row r="3" spans="1:4" x14ac:dyDescent="0.3">
      <c r="A3" s="3">
        <f>A2+1</f>
        <v>2</v>
      </c>
      <c r="B3" s="3">
        <f>B2</f>
        <v>12.815000000000001</v>
      </c>
      <c r="C3" s="3">
        <f>-C2</f>
        <v>-12.815000000000001</v>
      </c>
      <c r="D3" s="1">
        <v>0</v>
      </c>
    </row>
    <row r="4" spans="1:4" x14ac:dyDescent="0.3">
      <c r="A4" s="3">
        <f t="shared" ref="A4:A25" si="0">A3+1</f>
        <v>3</v>
      </c>
      <c r="B4" s="3">
        <f>-B3</f>
        <v>-12.815000000000001</v>
      </c>
      <c r="C4" s="3">
        <f>C3</f>
        <v>-12.815000000000001</v>
      </c>
      <c r="D4" s="1">
        <v>0</v>
      </c>
    </row>
    <row r="5" spans="1:4" x14ac:dyDescent="0.3">
      <c r="A5" s="3">
        <f t="shared" si="0"/>
        <v>4</v>
      </c>
      <c r="B5" s="3">
        <f>B4</f>
        <v>-12.815000000000001</v>
      </c>
      <c r="C5" s="3">
        <f>-C4</f>
        <v>12.815000000000001</v>
      </c>
      <c r="D5" s="1">
        <v>0</v>
      </c>
    </row>
    <row r="6" spans="1:4" x14ac:dyDescent="0.3">
      <c r="A6" s="3">
        <f t="shared" si="0"/>
        <v>5</v>
      </c>
      <c r="B6" s="5">
        <f>(25.53)/2</f>
        <v>12.765000000000001</v>
      </c>
      <c r="C6" s="5">
        <f>B6</f>
        <v>12.765000000000001</v>
      </c>
      <c r="D6" s="2">
        <v>1</v>
      </c>
    </row>
    <row r="7" spans="1:4" x14ac:dyDescent="0.3">
      <c r="A7" s="3">
        <f t="shared" si="0"/>
        <v>6</v>
      </c>
      <c r="B7" s="5">
        <f>B6</f>
        <v>12.765000000000001</v>
      </c>
      <c r="C7" s="5">
        <f>-C6</f>
        <v>-12.765000000000001</v>
      </c>
      <c r="D7" s="2">
        <v>1</v>
      </c>
    </row>
    <row r="8" spans="1:4" x14ac:dyDescent="0.3">
      <c r="A8" s="3">
        <f t="shared" si="0"/>
        <v>7</v>
      </c>
      <c r="B8" s="5">
        <f>-B7</f>
        <v>-12.765000000000001</v>
      </c>
      <c r="C8" s="5">
        <f>C7</f>
        <v>-12.765000000000001</v>
      </c>
      <c r="D8" s="2">
        <v>1</v>
      </c>
    </row>
    <row r="9" spans="1:4" x14ac:dyDescent="0.3">
      <c r="A9" s="3">
        <f t="shared" si="0"/>
        <v>8</v>
      </c>
      <c r="B9" s="5">
        <f>B8</f>
        <v>-12.765000000000001</v>
      </c>
      <c r="C9" s="5">
        <f>-C8</f>
        <v>12.765000000000001</v>
      </c>
      <c r="D9" s="2">
        <v>1</v>
      </c>
    </row>
    <row r="10" spans="1:4" x14ac:dyDescent="0.3">
      <c r="A10" s="3">
        <f t="shared" si="0"/>
        <v>9</v>
      </c>
      <c r="B10" s="5">
        <f>(25.53/1.2523)/2</f>
        <v>10.193244430248344</v>
      </c>
      <c r="C10" s="5">
        <f>B10</f>
        <v>10.193244430248344</v>
      </c>
      <c r="D10" s="2">
        <f>D6+25.314</f>
        <v>26.314</v>
      </c>
    </row>
    <row r="11" spans="1:4" x14ac:dyDescent="0.3">
      <c r="A11" s="3">
        <f t="shared" si="0"/>
        <v>10</v>
      </c>
      <c r="B11" s="5">
        <f>B10</f>
        <v>10.193244430248344</v>
      </c>
      <c r="C11" s="5">
        <f>-C10</f>
        <v>-10.193244430248344</v>
      </c>
      <c r="D11" s="2">
        <f>D7+25.314</f>
        <v>26.314</v>
      </c>
    </row>
    <row r="12" spans="1:4" x14ac:dyDescent="0.3">
      <c r="A12" s="3">
        <f t="shared" si="0"/>
        <v>11</v>
      </c>
      <c r="B12" s="5">
        <f>-B11</f>
        <v>-10.193244430248344</v>
      </c>
      <c r="C12" s="5">
        <f>C11</f>
        <v>-10.193244430248344</v>
      </c>
      <c r="D12" s="2">
        <f>D8+25.314</f>
        <v>26.314</v>
      </c>
    </row>
    <row r="13" spans="1:4" x14ac:dyDescent="0.3">
      <c r="A13" s="3">
        <f t="shared" si="0"/>
        <v>12</v>
      </c>
      <c r="B13" s="5">
        <f>B12</f>
        <v>-10.193244430248344</v>
      </c>
      <c r="C13" s="5">
        <f>-C12</f>
        <v>10.193244430248344</v>
      </c>
      <c r="D13" s="2">
        <f>D9+25.314</f>
        <v>26.314</v>
      </c>
    </row>
    <row r="14" spans="1:4" ht="69" customHeight="1" x14ac:dyDescent="0.3">
      <c r="A14" s="3">
        <f t="shared" si="0"/>
        <v>13</v>
      </c>
      <c r="B14" s="5">
        <f>(20.213/1.2523)/2</f>
        <v>8.0703505549788392</v>
      </c>
      <c r="C14" s="5">
        <f>B14</f>
        <v>8.0703505549788392</v>
      </c>
      <c r="D14" s="2">
        <f>D10+20.213</f>
        <v>46.527000000000001</v>
      </c>
    </row>
    <row r="15" spans="1:4" x14ac:dyDescent="0.3">
      <c r="A15" s="3">
        <f t="shared" si="0"/>
        <v>14</v>
      </c>
      <c r="B15" s="5">
        <f>B14</f>
        <v>8.0703505549788392</v>
      </c>
      <c r="C15" s="5">
        <f>-C14</f>
        <v>-8.0703505549788392</v>
      </c>
      <c r="D15" s="2">
        <f>D11+20.213</f>
        <v>46.527000000000001</v>
      </c>
    </row>
    <row r="16" spans="1:4" x14ac:dyDescent="0.3">
      <c r="A16" s="3">
        <f t="shared" si="0"/>
        <v>15</v>
      </c>
      <c r="B16" s="5">
        <f>-B15</f>
        <v>-8.0703505549788392</v>
      </c>
      <c r="C16" s="5">
        <f>C15</f>
        <v>-8.0703505549788392</v>
      </c>
      <c r="D16" s="2">
        <f>D12+20.213</f>
        <v>46.527000000000001</v>
      </c>
    </row>
    <row r="17" spans="1:4" x14ac:dyDescent="0.3">
      <c r="A17" s="3">
        <f t="shared" si="0"/>
        <v>16</v>
      </c>
      <c r="B17" s="5">
        <f>B16</f>
        <v>-8.0703505549788392</v>
      </c>
      <c r="C17" s="5">
        <f>-C16</f>
        <v>8.0703505549788392</v>
      </c>
      <c r="D17" s="2">
        <f>D13+20.213</f>
        <v>46.527000000000001</v>
      </c>
    </row>
    <row r="18" spans="1:4" x14ac:dyDescent="0.3">
      <c r="A18" s="3">
        <f t="shared" si="0"/>
        <v>17</v>
      </c>
      <c r="B18" s="5">
        <f>(16.14/1.2523)/2</f>
        <v>6.4441427772897875</v>
      </c>
      <c r="C18" s="5">
        <f>B18</f>
        <v>6.4441427772897875</v>
      </c>
      <c r="D18" s="2">
        <f>D14+16.14</f>
        <v>62.667000000000002</v>
      </c>
    </row>
    <row r="19" spans="1:4" x14ac:dyDescent="0.3">
      <c r="A19" s="3">
        <f t="shared" si="0"/>
        <v>18</v>
      </c>
      <c r="B19" s="5">
        <f>B18</f>
        <v>6.4441427772897875</v>
      </c>
      <c r="C19" s="5">
        <f>-C18</f>
        <v>-6.4441427772897875</v>
      </c>
      <c r="D19" s="2">
        <f>D15+16.14</f>
        <v>62.667000000000002</v>
      </c>
    </row>
    <row r="20" spans="1:4" x14ac:dyDescent="0.3">
      <c r="A20" s="3">
        <f t="shared" si="0"/>
        <v>19</v>
      </c>
      <c r="B20" s="5">
        <f>-B19</f>
        <v>-6.4441427772897875</v>
      </c>
      <c r="C20" s="5">
        <f>C19</f>
        <v>-6.4441427772897875</v>
      </c>
      <c r="D20" s="2">
        <f>D16+16.14</f>
        <v>62.667000000000002</v>
      </c>
    </row>
    <row r="21" spans="1:4" x14ac:dyDescent="0.3">
      <c r="A21" s="3">
        <f t="shared" si="0"/>
        <v>20</v>
      </c>
      <c r="B21" s="5">
        <f>B20</f>
        <v>-6.4441427772897875</v>
      </c>
      <c r="C21" s="5">
        <f>-C20</f>
        <v>6.4441427772897875</v>
      </c>
      <c r="D21" s="2">
        <f>D17+16.14</f>
        <v>62.667000000000002</v>
      </c>
    </row>
    <row r="22" spans="1:4" x14ac:dyDescent="0.3">
      <c r="A22" s="3">
        <f t="shared" si="0"/>
        <v>21</v>
      </c>
      <c r="B22" s="5">
        <f>((16.14-1/10)/1.2523)/2</f>
        <v>6.4042162421145088</v>
      </c>
      <c r="C22" s="5">
        <f>B22</f>
        <v>6.4042162421145088</v>
      </c>
      <c r="D22" s="2">
        <f>D18+1</f>
        <v>63.667000000000002</v>
      </c>
    </row>
    <row r="23" spans="1:4" x14ac:dyDescent="0.3">
      <c r="A23" s="3">
        <f t="shared" si="0"/>
        <v>22</v>
      </c>
      <c r="B23" s="5">
        <f>B22</f>
        <v>6.4042162421145088</v>
      </c>
      <c r="C23" s="5">
        <f>-C22</f>
        <v>-6.4042162421145088</v>
      </c>
      <c r="D23" s="2">
        <f>D19+1</f>
        <v>63.667000000000002</v>
      </c>
    </row>
    <row r="24" spans="1:4" x14ac:dyDescent="0.3">
      <c r="A24" s="3">
        <f t="shared" si="0"/>
        <v>23</v>
      </c>
      <c r="B24" s="5">
        <f>-B23</f>
        <v>-6.4042162421145088</v>
      </c>
      <c r="C24" s="5">
        <f>C23</f>
        <v>-6.4042162421145088</v>
      </c>
      <c r="D24" s="2">
        <f>D20+1</f>
        <v>63.667000000000002</v>
      </c>
    </row>
    <row r="25" spans="1:4" x14ac:dyDescent="0.3">
      <c r="A25" s="3">
        <f t="shared" si="0"/>
        <v>24</v>
      </c>
      <c r="B25" s="5">
        <f>B24</f>
        <v>-6.4042162421145088</v>
      </c>
      <c r="C25" s="5">
        <f>-C24</f>
        <v>6.4042162421145088</v>
      </c>
      <c r="D25" s="2">
        <f>D21+1</f>
        <v>63.667000000000002</v>
      </c>
    </row>
    <row r="26" spans="1:4" ht="60" customHeight="1" x14ac:dyDescent="0.3"/>
    <row r="38" ht="39" customHeight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5AB2D-FD9C-4239-9973-5E0FF7067271}">
  <dimension ref="A1:C49"/>
  <sheetViews>
    <sheetView tabSelected="1" topLeftCell="A26" workbookViewId="0">
      <selection activeCell="C51" sqref="C51"/>
    </sheetView>
  </sheetViews>
  <sheetFormatPr defaultRowHeight="14.4" x14ac:dyDescent="0.3"/>
  <cols>
    <col min="1" max="1" width="8.88671875" style="1"/>
    <col min="2" max="2" width="15.21875" style="1" customWidth="1"/>
    <col min="3" max="3" width="15.21875" style="4" customWidth="1"/>
  </cols>
  <sheetData>
    <row r="1" spans="1:3" x14ac:dyDescent="0.3">
      <c r="A1" s="1" t="s">
        <v>4</v>
      </c>
      <c r="B1" s="1" t="s">
        <v>11</v>
      </c>
      <c r="C1" s="4" t="s">
        <v>10</v>
      </c>
    </row>
    <row r="2" spans="1:3" x14ac:dyDescent="0.3">
      <c r="A2" s="1">
        <v>1</v>
      </c>
      <c r="B2" s="1" t="s">
        <v>7</v>
      </c>
      <c r="C2" s="4" t="s">
        <v>12</v>
      </c>
    </row>
    <row r="3" spans="1:3" x14ac:dyDescent="0.3">
      <c r="A3" s="1">
        <f>A2+1</f>
        <v>2</v>
      </c>
      <c r="B3" s="1" t="s">
        <v>7</v>
      </c>
      <c r="C3" s="4" t="s">
        <v>13</v>
      </c>
    </row>
    <row r="4" spans="1:3" x14ac:dyDescent="0.3">
      <c r="A4" s="1">
        <f t="shared" ref="A4:A10" si="0">A3+1</f>
        <v>3</v>
      </c>
      <c r="B4" s="1" t="s">
        <v>7</v>
      </c>
      <c r="C4" s="4" t="s">
        <v>14</v>
      </c>
    </row>
    <row r="5" spans="1:3" x14ac:dyDescent="0.3">
      <c r="A5" s="1">
        <f t="shared" si="0"/>
        <v>4</v>
      </c>
      <c r="B5" s="1" t="s">
        <v>7</v>
      </c>
      <c r="C5" s="4" t="s">
        <v>5</v>
      </c>
    </row>
    <row r="6" spans="1:3" x14ac:dyDescent="0.3">
      <c r="A6" s="1">
        <f t="shared" si="0"/>
        <v>5</v>
      </c>
      <c r="B6" s="1" t="s">
        <v>8</v>
      </c>
      <c r="C6" s="4" t="s">
        <v>15</v>
      </c>
    </row>
    <row r="7" spans="1:3" x14ac:dyDescent="0.3">
      <c r="A7" s="1">
        <f t="shared" si="0"/>
        <v>6</v>
      </c>
      <c r="B7" s="1" t="s">
        <v>8</v>
      </c>
      <c r="C7" s="4" t="s">
        <v>18</v>
      </c>
    </row>
    <row r="8" spans="1:3" x14ac:dyDescent="0.3">
      <c r="A8" s="1">
        <f t="shared" si="0"/>
        <v>7</v>
      </c>
      <c r="B8" s="1" t="s">
        <v>8</v>
      </c>
      <c r="C8" s="4" t="s">
        <v>19</v>
      </c>
    </row>
    <row r="9" spans="1:3" x14ac:dyDescent="0.3">
      <c r="A9" s="1">
        <f t="shared" si="0"/>
        <v>8</v>
      </c>
      <c r="B9" s="1" t="s">
        <v>8</v>
      </c>
      <c r="C9" s="4" t="s">
        <v>6</v>
      </c>
    </row>
    <row r="10" spans="1:3" x14ac:dyDescent="0.3">
      <c r="A10" s="1">
        <f t="shared" si="0"/>
        <v>9</v>
      </c>
      <c r="B10" s="1" t="s">
        <v>7</v>
      </c>
      <c r="C10" s="4" t="s">
        <v>17</v>
      </c>
    </row>
    <row r="11" spans="1:3" ht="30" customHeight="1" x14ac:dyDescent="0.3">
      <c r="A11" s="3">
        <v>10</v>
      </c>
      <c r="B11" s="1" t="s">
        <v>7</v>
      </c>
      <c r="C11" s="4" t="s">
        <v>20</v>
      </c>
    </row>
    <row r="12" spans="1:3" x14ac:dyDescent="0.3">
      <c r="A12" s="3">
        <v>11</v>
      </c>
      <c r="B12" s="1" t="s">
        <v>7</v>
      </c>
      <c r="C12" s="4" t="s">
        <v>21</v>
      </c>
    </row>
    <row r="13" spans="1:3" x14ac:dyDescent="0.3">
      <c r="A13" s="3">
        <v>12</v>
      </c>
      <c r="B13" s="1" t="s">
        <v>7</v>
      </c>
      <c r="C13" s="4" t="s">
        <v>22</v>
      </c>
    </row>
    <row r="14" spans="1:3" x14ac:dyDescent="0.3">
      <c r="A14" s="3">
        <v>13</v>
      </c>
      <c r="B14" s="1" t="s">
        <v>8</v>
      </c>
      <c r="C14" s="4" t="s">
        <v>23</v>
      </c>
    </row>
    <row r="15" spans="1:3" x14ac:dyDescent="0.3">
      <c r="A15" s="3">
        <v>14</v>
      </c>
      <c r="B15" s="1" t="s">
        <v>8</v>
      </c>
      <c r="C15" s="4" t="s">
        <v>25</v>
      </c>
    </row>
    <row r="16" spans="1:3" x14ac:dyDescent="0.3">
      <c r="A16" s="3">
        <v>15</v>
      </c>
      <c r="B16" s="1" t="s">
        <v>8</v>
      </c>
      <c r="C16" s="4" t="s">
        <v>26</v>
      </c>
    </row>
    <row r="17" spans="1:3" x14ac:dyDescent="0.3">
      <c r="A17" s="3">
        <v>16</v>
      </c>
      <c r="B17" s="1" t="s">
        <v>8</v>
      </c>
      <c r="C17" s="4" t="s">
        <v>27</v>
      </c>
    </row>
    <row r="18" spans="1:3" x14ac:dyDescent="0.3">
      <c r="A18" s="3">
        <v>17</v>
      </c>
      <c r="B18" s="1" t="s">
        <v>7</v>
      </c>
      <c r="C18" s="4" t="s">
        <v>28</v>
      </c>
    </row>
    <row r="19" spans="1:3" x14ac:dyDescent="0.3">
      <c r="A19" s="3">
        <v>18</v>
      </c>
      <c r="B19" s="1" t="s">
        <v>7</v>
      </c>
      <c r="C19" s="4" t="s">
        <v>29</v>
      </c>
    </row>
    <row r="20" spans="1:3" ht="39" customHeight="1" x14ac:dyDescent="0.3">
      <c r="A20" s="3">
        <v>19</v>
      </c>
      <c r="B20" s="1" t="s">
        <v>7</v>
      </c>
      <c r="C20" s="4" t="s">
        <v>30</v>
      </c>
    </row>
    <row r="21" spans="1:3" x14ac:dyDescent="0.3">
      <c r="A21" s="3">
        <v>20</v>
      </c>
      <c r="B21" s="1" t="s">
        <v>7</v>
      </c>
      <c r="C21" s="4" t="s">
        <v>31</v>
      </c>
    </row>
    <row r="22" spans="1:3" x14ac:dyDescent="0.3">
      <c r="A22" s="3">
        <v>21</v>
      </c>
      <c r="B22" s="1" t="s">
        <v>8</v>
      </c>
      <c r="C22" s="4" t="s">
        <v>32</v>
      </c>
    </row>
    <row r="23" spans="1:3" x14ac:dyDescent="0.3">
      <c r="A23" s="3">
        <v>22</v>
      </c>
      <c r="B23" s="1" t="s">
        <v>8</v>
      </c>
      <c r="C23" s="4" t="s">
        <v>33</v>
      </c>
    </row>
    <row r="24" spans="1:3" x14ac:dyDescent="0.3">
      <c r="A24" s="3">
        <v>23</v>
      </c>
      <c r="B24" s="1" t="s">
        <v>8</v>
      </c>
      <c r="C24" s="4" t="s">
        <v>34</v>
      </c>
    </row>
    <row r="25" spans="1:3" x14ac:dyDescent="0.3">
      <c r="A25" s="3">
        <v>24</v>
      </c>
      <c r="B25" s="1" t="s">
        <v>8</v>
      </c>
      <c r="C25" s="4" t="s">
        <v>35</v>
      </c>
    </row>
    <row r="26" spans="1:3" x14ac:dyDescent="0.3">
      <c r="A26" s="3">
        <f>A25+1</f>
        <v>25</v>
      </c>
      <c r="B26" s="1" t="s">
        <v>7</v>
      </c>
      <c r="C26" s="4" t="s">
        <v>36</v>
      </c>
    </row>
    <row r="27" spans="1:3" x14ac:dyDescent="0.3">
      <c r="A27" s="3">
        <f t="shared" ref="A27:A33" si="1">A26+1</f>
        <v>26</v>
      </c>
      <c r="B27" s="1" t="s">
        <v>7</v>
      </c>
      <c r="C27" s="4" t="s">
        <v>37</v>
      </c>
    </row>
    <row r="28" spans="1:3" x14ac:dyDescent="0.3">
      <c r="A28" s="3">
        <f t="shared" si="1"/>
        <v>27</v>
      </c>
      <c r="B28" s="1" t="s">
        <v>7</v>
      </c>
      <c r="C28" s="4" t="s">
        <v>38</v>
      </c>
    </row>
    <row r="29" spans="1:3" ht="36.6" customHeight="1" x14ac:dyDescent="0.3">
      <c r="A29" s="3">
        <f t="shared" si="1"/>
        <v>28</v>
      </c>
      <c r="B29" s="1" t="s">
        <v>7</v>
      </c>
      <c r="C29" s="4" t="s">
        <v>9</v>
      </c>
    </row>
    <row r="30" spans="1:3" x14ac:dyDescent="0.3">
      <c r="A30" s="3">
        <f t="shared" si="1"/>
        <v>29</v>
      </c>
      <c r="B30" s="1" t="s">
        <v>39</v>
      </c>
      <c r="C30" s="4" t="s">
        <v>40</v>
      </c>
    </row>
    <row r="31" spans="1:3" x14ac:dyDescent="0.3">
      <c r="A31" s="3">
        <f t="shared" si="1"/>
        <v>30</v>
      </c>
      <c r="B31" s="1" t="s">
        <v>39</v>
      </c>
      <c r="C31" s="4" t="s">
        <v>41</v>
      </c>
    </row>
    <row r="32" spans="1:3" x14ac:dyDescent="0.3">
      <c r="A32" s="3">
        <f t="shared" si="1"/>
        <v>31</v>
      </c>
      <c r="B32" s="1" t="s">
        <v>39</v>
      </c>
      <c r="C32" s="4" t="s">
        <v>42</v>
      </c>
    </row>
    <row r="33" spans="1:3" x14ac:dyDescent="0.3">
      <c r="A33" s="3">
        <f t="shared" si="1"/>
        <v>32</v>
      </c>
      <c r="B33" s="1" t="s">
        <v>39</v>
      </c>
      <c r="C33" s="4" t="s">
        <v>43</v>
      </c>
    </row>
    <row r="34" spans="1:3" x14ac:dyDescent="0.3">
      <c r="A34" s="3">
        <f t="shared" ref="A34:A49" si="2">A33+1</f>
        <v>33</v>
      </c>
      <c r="B34" s="1" t="s">
        <v>39</v>
      </c>
      <c r="C34" s="4" t="s">
        <v>44</v>
      </c>
    </row>
    <row r="35" spans="1:3" x14ac:dyDescent="0.3">
      <c r="A35" s="3">
        <f t="shared" si="2"/>
        <v>34</v>
      </c>
      <c r="B35" s="1" t="s">
        <v>39</v>
      </c>
      <c r="C35" s="4" t="s">
        <v>45</v>
      </c>
    </row>
    <row r="36" spans="1:3" x14ac:dyDescent="0.3">
      <c r="A36" s="3">
        <f t="shared" si="2"/>
        <v>35</v>
      </c>
      <c r="B36" s="1" t="s">
        <v>39</v>
      </c>
      <c r="C36" s="4" t="s">
        <v>16</v>
      </c>
    </row>
    <row r="37" spans="1:3" x14ac:dyDescent="0.3">
      <c r="A37" s="3">
        <f t="shared" si="2"/>
        <v>36</v>
      </c>
      <c r="B37" s="1" t="s">
        <v>39</v>
      </c>
      <c r="C37" s="4" t="s">
        <v>24</v>
      </c>
    </row>
    <row r="38" spans="1:3" x14ac:dyDescent="0.3">
      <c r="A38" s="3">
        <f t="shared" si="2"/>
        <v>37</v>
      </c>
      <c r="B38" s="1" t="s">
        <v>39</v>
      </c>
      <c r="C38" s="4" t="s">
        <v>46</v>
      </c>
    </row>
    <row r="39" spans="1:3" x14ac:dyDescent="0.3">
      <c r="A39" s="3">
        <f t="shared" si="2"/>
        <v>38</v>
      </c>
      <c r="B39" s="1" t="s">
        <v>39</v>
      </c>
      <c r="C39" s="4" t="s">
        <v>47</v>
      </c>
    </row>
    <row r="40" spans="1:3" x14ac:dyDescent="0.3">
      <c r="A40" s="3">
        <f t="shared" si="2"/>
        <v>39</v>
      </c>
      <c r="B40" s="1" t="s">
        <v>39</v>
      </c>
      <c r="C40" s="4" t="s">
        <v>48</v>
      </c>
    </row>
    <row r="41" spans="1:3" x14ac:dyDescent="0.3">
      <c r="A41" s="3">
        <f t="shared" si="2"/>
        <v>40</v>
      </c>
      <c r="B41" s="1" t="s">
        <v>39</v>
      </c>
      <c r="C41" s="4" t="s">
        <v>49</v>
      </c>
    </row>
    <row r="42" spans="1:3" x14ac:dyDescent="0.3">
      <c r="A42" s="3">
        <f t="shared" si="2"/>
        <v>41</v>
      </c>
      <c r="B42" s="1" t="s">
        <v>39</v>
      </c>
      <c r="C42" s="4" t="s">
        <v>50</v>
      </c>
    </row>
    <row r="43" spans="1:3" x14ac:dyDescent="0.3">
      <c r="A43" s="3">
        <f t="shared" si="2"/>
        <v>42</v>
      </c>
      <c r="B43" s="1" t="s">
        <v>39</v>
      </c>
      <c r="C43" s="4" t="s">
        <v>51</v>
      </c>
    </row>
    <row r="44" spans="1:3" x14ac:dyDescent="0.3">
      <c r="A44" s="3">
        <f t="shared" si="2"/>
        <v>43</v>
      </c>
      <c r="B44" s="1" t="s">
        <v>39</v>
      </c>
      <c r="C44" s="4" t="s">
        <v>52</v>
      </c>
    </row>
    <row r="45" spans="1:3" x14ac:dyDescent="0.3">
      <c r="A45" s="3">
        <f t="shared" si="2"/>
        <v>44</v>
      </c>
      <c r="B45" s="1" t="s">
        <v>39</v>
      </c>
      <c r="C45" s="4" t="s">
        <v>53</v>
      </c>
    </row>
    <row r="46" spans="1:3" x14ac:dyDescent="0.3">
      <c r="A46" s="3">
        <f t="shared" si="2"/>
        <v>45</v>
      </c>
      <c r="B46" s="1" t="s">
        <v>39</v>
      </c>
      <c r="C46" s="4" t="s">
        <v>54</v>
      </c>
    </row>
    <row r="47" spans="1:3" x14ac:dyDescent="0.3">
      <c r="A47" s="3">
        <f t="shared" si="2"/>
        <v>46</v>
      </c>
      <c r="B47" s="1" t="s">
        <v>39</v>
      </c>
      <c r="C47" s="4" t="s">
        <v>55</v>
      </c>
    </row>
    <row r="48" spans="1:3" x14ac:dyDescent="0.3">
      <c r="A48" s="3">
        <f t="shared" si="2"/>
        <v>47</v>
      </c>
      <c r="B48" s="1" t="s">
        <v>39</v>
      </c>
      <c r="C48" s="4" t="s">
        <v>56</v>
      </c>
    </row>
    <row r="49" spans="1:3" x14ac:dyDescent="0.3">
      <c r="A49" s="3">
        <f t="shared" si="2"/>
        <v>48</v>
      </c>
      <c r="B49" s="1" t="s">
        <v>39</v>
      </c>
      <c r="C49" s="4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Geometry</vt:lpstr>
      <vt:lpstr>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Sokratis Sideris</dc:creator>
  <cp:lastModifiedBy>Robert Wieringa</cp:lastModifiedBy>
  <dcterms:created xsi:type="dcterms:W3CDTF">2026-02-15T15:19:47Z</dcterms:created>
  <dcterms:modified xsi:type="dcterms:W3CDTF">2026-02-26T17:27:21Z</dcterms:modified>
</cp:coreProperties>
</file>